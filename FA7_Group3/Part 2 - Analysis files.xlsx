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" sheetId="1" r:id="rId5"/>
    <sheet state="visible" name="Data" sheetId="2" r:id="rId6"/>
  </sheets>
  <definedNames/>
  <calcPr/>
</workbook>
</file>

<file path=xl/sharedStrings.xml><?xml version="1.0" encoding="utf-8"?>
<sst xmlns="http://schemas.openxmlformats.org/spreadsheetml/2006/main" count="80" uniqueCount="31">
  <si>
    <t>Timestamp</t>
  </si>
  <si>
    <t>How far is your home from FEU Manila (in kilometers)?</t>
  </si>
  <si>
    <t>Do you agree to participate in this survey?</t>
  </si>
  <si>
    <t>Yes</t>
  </si>
  <si>
    <t>Distance Group (km)</t>
  </si>
  <si>
    <t>Frequency (f)</t>
  </si>
  <si>
    <t>Cumulative Frequency (cf)</t>
  </si>
  <si>
    <t>1 - 5</t>
  </si>
  <si>
    <t>Mean:</t>
  </si>
  <si>
    <t>Range</t>
  </si>
  <si>
    <t>Calculation</t>
  </si>
  <si>
    <t>Lower Limit (km)</t>
  </si>
  <si>
    <t>Upper Limit (km)</t>
  </si>
  <si>
    <t>Empirical Rule</t>
  </si>
  <si>
    <t>Approx. Students (n=50)</t>
  </si>
  <si>
    <t>Practical Range</t>
  </si>
  <si>
    <t>6 - 10</t>
  </si>
  <si>
    <t>Standard deviation:</t>
  </si>
  <si>
    <t>Within 1σ</t>
  </si>
  <si>
    <t>14.26 ± 7.63</t>
  </si>
  <si>
    <t>6.63–21.89 km</t>
  </si>
  <si>
    <t>11 - 15</t>
  </si>
  <si>
    <t>Within 2σ</t>
  </si>
  <si>
    <t>14.26 ± 2(7.63)</t>
  </si>
  <si>
    <t>0–29.52 km</t>
  </si>
  <si>
    <t>16 - 20</t>
  </si>
  <si>
    <t>Within 3σ</t>
  </si>
  <si>
    <t>14.26 ± 3(7.63)</t>
  </si>
  <si>
    <t>0–37.15 km</t>
  </si>
  <si>
    <t>21 - 25</t>
  </si>
  <si>
    <t>26 - 30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</si>
</sst>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F1F1F"/>
      <name val="Roboto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164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2" fontId="2" numFmtId="0" xfId="0" applyAlignment="1" applyFill="1" applyFont="1">
      <alignment horizontal="right" readingOrder="0" shrinkToFit="0" vertical="center" wrapText="0"/>
    </xf>
    <xf borderId="0" fillId="0" fontId="3" numFmtId="0" xfId="0" applyAlignment="1" applyFont="1">
      <alignment readingOrder="0"/>
    </xf>
    <xf borderId="0" fillId="0" fontId="1" numFmtId="2" xfId="0" applyFont="1" applyNumberForma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/>
    </xf>
    <xf borderId="1" fillId="0" fontId="1" numFmtId="2" xfId="0" applyBorder="1" applyFont="1" applyNumberFormat="1"/>
    <xf borderId="1" fillId="0" fontId="1" numFmtId="0" xfId="0" applyAlignment="1" applyBorder="1" applyFont="1">
      <alignment horizontal="center" readingOrder="0"/>
    </xf>
    <xf borderId="1" fillId="0" fontId="1" numFmtId="9" xfId="0" applyAlignment="1" applyBorder="1" applyFont="1" applyNumberFormat="1">
      <alignment horizontal="center" readingOrder="0"/>
    </xf>
    <xf borderId="1" fillId="0" fontId="1" numFmtId="10" xfId="0" applyAlignment="1" applyBorder="1" applyFont="1" applyNumberFormat="1">
      <alignment horizontal="center" readingOrder="0"/>
    </xf>
    <xf borderId="0" fillId="0" fontId="1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4" pivot="0" name="Form Respon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Distance from Students Home to FEU Manila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3"/>
          </c:dPt>
          <c:cat>
            <c:strRef>
              <c:f>Data!$A$2:$A$7</c:f>
            </c:strRef>
          </c:cat>
          <c:val>
            <c:numRef>
              <c:f>Data!$B$2:$B$7</c:f>
              <c:numCache/>
            </c:numRef>
          </c:val>
        </c:ser>
        <c:axId val="595915421"/>
        <c:axId val="2083921843"/>
      </c:barChart>
      <c:catAx>
        <c:axId val="5959154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(km)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3921843"/>
      </c:catAx>
      <c:valAx>
        <c:axId val="20839218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59154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8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962025</xdr:colOff>
      <xdr:row>8</xdr:row>
      <xdr:rowOff>57150</xdr:rowOff>
    </xdr:from>
    <xdr:ext cx="6067425" cy="35337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34290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51" displayName="Form_Responses" name="Form_Responses" id="1">
  <tableColumns count="3">
    <tableColumn name="Timestamp" id="1"/>
    <tableColumn name="How far is your home from FEU Manila (in kilometers)?" id="2"/>
    <tableColumn name="Do you agree to participate in this survey?" id="3"/>
  </tableColumns>
  <tableStyleInfo name="Form Responses-style" showColumnStripes="0" showFirstColumn="1" showLastColumn="1" showRowStripes="1"/>
</table>
</file>

<file path=xl/tables/table2.xml><?xml version="1.0" encoding="utf-8"?>
<table xmlns="http://schemas.openxmlformats.org/spreadsheetml/2006/main" ref="A1:C7" displayName="Frequency_Table" name="Frequency_Table" id="2">
  <tableColumns count="3">
    <tableColumn name="Distance Group (km)" id="1"/>
    <tableColumn name="Frequency (f)" id="2"/>
    <tableColumn name="Cumulative Frequency (cf)" id="3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46.38"/>
    <col customWidth="1" min="3" max="3" width="36.38"/>
    <col customWidth="1" min="4" max="4" width="18.88"/>
    <col customWidth="1" min="5" max="5" width="17.13"/>
    <col customWidth="1" min="6" max="6" width="12.13"/>
    <col customWidth="1" min="7" max="9" width="18.88"/>
  </cols>
  <sheetData>
    <row r="1" ht="22.5" customHeight="1">
      <c r="A1" s="1" t="s">
        <v>0</v>
      </c>
      <c r="B1" s="1" t="s">
        <v>1</v>
      </c>
      <c r="C1" s="2" t="s">
        <v>2</v>
      </c>
    </row>
    <row r="2" ht="22.5" customHeight="1">
      <c r="A2" s="3">
        <v>46297.56997685185</v>
      </c>
      <c r="B2" s="4">
        <v>1.0</v>
      </c>
      <c r="C2" s="5" t="s">
        <v>3</v>
      </c>
      <c r="E2" s="6"/>
      <c r="F2" s="7"/>
    </row>
    <row r="3" ht="22.5" customHeight="1">
      <c r="A3" s="3">
        <v>46293.64065972222</v>
      </c>
      <c r="B3" s="4">
        <v>2.0</v>
      </c>
      <c r="C3" s="5" t="s">
        <v>3</v>
      </c>
      <c r="E3" s="6"/>
      <c r="F3" s="7"/>
    </row>
    <row r="4" ht="22.5" customHeight="1">
      <c r="A4" s="3">
        <v>46297.76875</v>
      </c>
      <c r="B4" s="4">
        <v>3.0</v>
      </c>
      <c r="C4" s="5" t="s">
        <v>3</v>
      </c>
    </row>
    <row r="5" ht="22.5" customHeight="1">
      <c r="A5" s="3">
        <v>46293.42670138889</v>
      </c>
      <c r="B5" s="4">
        <v>3.8</v>
      </c>
      <c r="C5" s="5" t="s">
        <v>3</v>
      </c>
    </row>
    <row r="6" ht="22.5" customHeight="1">
      <c r="A6" s="3">
        <v>46297.825578703705</v>
      </c>
      <c r="B6" s="4">
        <v>4.0</v>
      </c>
      <c r="C6" s="5" t="s">
        <v>3</v>
      </c>
    </row>
    <row r="7" ht="22.5" customHeight="1">
      <c r="A7" s="3">
        <v>46294.58559027778</v>
      </c>
      <c r="B7" s="4">
        <v>4.5</v>
      </c>
      <c r="C7" s="5" t="s">
        <v>3</v>
      </c>
    </row>
    <row r="8" ht="22.5" customHeight="1">
      <c r="A8" s="3">
        <v>46297.810902777775</v>
      </c>
      <c r="B8" s="4">
        <v>5.0</v>
      </c>
      <c r="C8" s="5" t="s">
        <v>3</v>
      </c>
    </row>
    <row r="9" ht="22.5" customHeight="1">
      <c r="A9" s="3">
        <v>46293.69596064815</v>
      </c>
      <c r="B9" s="4">
        <v>5.4</v>
      </c>
      <c r="C9" s="5" t="s">
        <v>3</v>
      </c>
    </row>
    <row r="10" ht="22.5" customHeight="1">
      <c r="A10" s="3">
        <v>46297.85774305555</v>
      </c>
      <c r="B10" s="4">
        <v>6.0</v>
      </c>
      <c r="C10" s="5" t="s">
        <v>3</v>
      </c>
    </row>
    <row r="11" ht="22.5" customHeight="1">
      <c r="A11" s="3">
        <v>46296.524872685186</v>
      </c>
      <c r="B11" s="4">
        <v>6.7</v>
      </c>
      <c r="C11" s="5" t="s">
        <v>3</v>
      </c>
    </row>
    <row r="12" ht="22.5" customHeight="1">
      <c r="A12" s="3">
        <v>46297.569872685184</v>
      </c>
      <c r="B12" s="4">
        <v>7.2</v>
      </c>
      <c r="C12" s="5" t="s">
        <v>3</v>
      </c>
    </row>
    <row r="13" ht="22.5" customHeight="1">
      <c r="A13" s="3">
        <v>46294.40131944444</v>
      </c>
      <c r="B13" s="4">
        <v>7.9</v>
      </c>
      <c r="C13" s="5" t="s">
        <v>3</v>
      </c>
    </row>
    <row r="14" ht="22.5" customHeight="1">
      <c r="A14" s="3">
        <v>46293.55599537037</v>
      </c>
      <c r="B14" s="4">
        <v>8.0</v>
      </c>
      <c r="C14" s="5" t="s">
        <v>3</v>
      </c>
    </row>
    <row r="15" ht="22.5" customHeight="1">
      <c r="A15" s="3">
        <v>46293.83096064815</v>
      </c>
      <c r="B15" s="4">
        <v>8.7</v>
      </c>
      <c r="C15" s="5" t="s">
        <v>3</v>
      </c>
    </row>
    <row r="16" ht="22.5" customHeight="1">
      <c r="A16" s="3">
        <v>46296.5428125</v>
      </c>
      <c r="B16" s="4">
        <v>9.0</v>
      </c>
      <c r="C16" s="5" t="s">
        <v>3</v>
      </c>
    </row>
    <row r="17" ht="22.5" customHeight="1">
      <c r="A17" s="3">
        <v>46297.860671296294</v>
      </c>
      <c r="B17" s="4">
        <v>9.0</v>
      </c>
      <c r="C17" s="5" t="s">
        <v>3</v>
      </c>
    </row>
    <row r="18" ht="22.5" customHeight="1">
      <c r="A18" s="3">
        <v>46294.624027777776</v>
      </c>
      <c r="B18" s="4">
        <v>9.6</v>
      </c>
      <c r="C18" s="5" t="s">
        <v>3</v>
      </c>
    </row>
    <row r="19" ht="22.5" customHeight="1">
      <c r="A19" s="3">
        <v>46294.44153935185</v>
      </c>
      <c r="B19" s="4">
        <v>10.0</v>
      </c>
      <c r="C19" s="5" t="s">
        <v>3</v>
      </c>
    </row>
    <row r="20" ht="22.5" customHeight="1">
      <c r="A20" s="3">
        <v>46295.47300925926</v>
      </c>
      <c r="B20" s="4">
        <v>10.5</v>
      </c>
      <c r="C20" s="5" t="s">
        <v>3</v>
      </c>
    </row>
    <row r="21" ht="22.5" customHeight="1">
      <c r="A21" s="3">
        <v>46297.41081018518</v>
      </c>
      <c r="B21" s="4">
        <v>11.0</v>
      </c>
      <c r="C21" s="5" t="s">
        <v>3</v>
      </c>
    </row>
    <row r="22" ht="22.5" customHeight="1">
      <c r="A22" s="3">
        <v>46295.782164351855</v>
      </c>
      <c r="B22" s="4">
        <v>11.8</v>
      </c>
      <c r="C22" s="5" t="s">
        <v>3</v>
      </c>
    </row>
    <row r="23" ht="22.5" customHeight="1">
      <c r="A23" s="3">
        <v>46296.53320601852</v>
      </c>
      <c r="B23" s="4">
        <v>12.0</v>
      </c>
      <c r="C23" s="5" t="s">
        <v>3</v>
      </c>
    </row>
    <row r="24" ht="22.5" customHeight="1">
      <c r="A24" s="3">
        <v>46296.37201388889</v>
      </c>
      <c r="B24" s="4">
        <v>12.4</v>
      </c>
      <c r="C24" s="5" t="s">
        <v>3</v>
      </c>
    </row>
    <row r="25" ht="22.5" customHeight="1">
      <c r="A25" s="3">
        <v>46297.85689814815</v>
      </c>
      <c r="B25" s="4">
        <v>13.0</v>
      </c>
      <c r="C25" s="5" t="s">
        <v>3</v>
      </c>
    </row>
    <row r="26" ht="22.5" customHeight="1">
      <c r="A26" s="3">
        <v>46296.64811342592</v>
      </c>
      <c r="B26" s="4">
        <v>13.7</v>
      </c>
      <c r="C26" s="5" t="s">
        <v>3</v>
      </c>
    </row>
    <row r="27" ht="22.5" customHeight="1">
      <c r="A27" s="3">
        <v>46297.506840277776</v>
      </c>
      <c r="B27" s="4">
        <v>14.2</v>
      </c>
      <c r="C27" s="5" t="s">
        <v>3</v>
      </c>
    </row>
    <row r="28" ht="22.5" customHeight="1">
      <c r="A28" s="3">
        <v>46297.58039351852</v>
      </c>
      <c r="B28" s="4">
        <v>15.0</v>
      </c>
      <c r="C28" s="5" t="s">
        <v>3</v>
      </c>
    </row>
    <row r="29" ht="22.5" customHeight="1">
      <c r="A29" s="3">
        <v>46296.51938657407</v>
      </c>
      <c r="B29" s="4">
        <v>15.5</v>
      </c>
      <c r="C29" s="5" t="s">
        <v>3</v>
      </c>
    </row>
    <row r="30" ht="22.5" customHeight="1">
      <c r="A30" s="3">
        <v>46297.40179398148</v>
      </c>
      <c r="B30" s="4">
        <v>16.0</v>
      </c>
      <c r="C30" s="5" t="s">
        <v>3</v>
      </c>
    </row>
    <row r="31" ht="22.5" customHeight="1">
      <c r="A31" s="3">
        <v>46297.80871527778</v>
      </c>
      <c r="B31" s="4">
        <v>16.4</v>
      </c>
      <c r="C31" s="5" t="s">
        <v>3</v>
      </c>
    </row>
    <row r="32" ht="22.5" customHeight="1">
      <c r="A32" s="3">
        <v>46293.80042824074</v>
      </c>
      <c r="B32" s="4">
        <v>17.0</v>
      </c>
      <c r="C32" s="5" t="s">
        <v>3</v>
      </c>
    </row>
    <row r="33" ht="22.5" customHeight="1">
      <c r="A33" s="3">
        <v>46293.49172453704</v>
      </c>
      <c r="B33" s="4">
        <v>17.6</v>
      </c>
      <c r="C33" s="5" t="s">
        <v>3</v>
      </c>
    </row>
    <row r="34" ht="22.5" customHeight="1">
      <c r="A34" s="3">
        <v>46296.555659722224</v>
      </c>
      <c r="B34" s="4">
        <v>18.1</v>
      </c>
      <c r="C34" s="5" t="s">
        <v>3</v>
      </c>
    </row>
    <row r="35" ht="22.5" customHeight="1">
      <c r="A35" s="3">
        <v>46293.844930555555</v>
      </c>
      <c r="B35" s="4">
        <v>18.8</v>
      </c>
      <c r="C35" s="5" t="s">
        <v>3</v>
      </c>
    </row>
    <row r="36" ht="22.5" customHeight="1">
      <c r="A36" s="3">
        <v>46297.40085648148</v>
      </c>
      <c r="B36" s="4">
        <v>19.0</v>
      </c>
      <c r="C36" s="5" t="s">
        <v>3</v>
      </c>
    </row>
    <row r="37" ht="22.5" customHeight="1">
      <c r="A37" s="3">
        <v>46297.40252314815</v>
      </c>
      <c r="B37" s="4">
        <v>19.0</v>
      </c>
      <c r="C37" s="5" t="s">
        <v>3</v>
      </c>
    </row>
    <row r="38" ht="22.5" customHeight="1">
      <c r="A38" s="3">
        <v>46297.6337037037</v>
      </c>
      <c r="B38" s="4">
        <v>19.0</v>
      </c>
      <c r="C38" s="5" t="s">
        <v>3</v>
      </c>
    </row>
    <row r="39" ht="22.5" customHeight="1">
      <c r="A39" s="3">
        <v>46293.80432870371</v>
      </c>
      <c r="B39" s="4">
        <v>20.0</v>
      </c>
      <c r="C39" s="5" t="s">
        <v>3</v>
      </c>
    </row>
    <row r="40" ht="22.5" customHeight="1">
      <c r="A40" s="3">
        <v>46297.85534722222</v>
      </c>
      <c r="B40" s="4">
        <v>20.0</v>
      </c>
      <c r="C40" s="5" t="s">
        <v>3</v>
      </c>
    </row>
    <row r="41" ht="22.5" customHeight="1">
      <c r="A41" s="3">
        <v>46294.35383101852</v>
      </c>
      <c r="B41" s="4">
        <v>20.5</v>
      </c>
      <c r="C41" s="5" t="s">
        <v>3</v>
      </c>
    </row>
    <row r="42" ht="22.5" customHeight="1">
      <c r="A42" s="3">
        <v>46294.71196759259</v>
      </c>
      <c r="B42" s="4">
        <v>21.3</v>
      </c>
      <c r="C42" s="5" t="s">
        <v>3</v>
      </c>
    </row>
    <row r="43" ht="22.5" customHeight="1">
      <c r="A43" s="3">
        <v>46296.78533564815</v>
      </c>
      <c r="B43" s="4">
        <v>22.0</v>
      </c>
      <c r="C43" s="5" t="s">
        <v>3</v>
      </c>
    </row>
    <row r="44" ht="22.5" customHeight="1">
      <c r="A44" s="3">
        <v>46295.446493055555</v>
      </c>
      <c r="B44" s="4">
        <v>22.7</v>
      </c>
      <c r="C44" s="5" t="s">
        <v>3</v>
      </c>
    </row>
    <row r="45" ht="22.5" customHeight="1">
      <c r="A45" s="3">
        <v>46295.63849537037</v>
      </c>
      <c r="B45" s="4">
        <v>23.5</v>
      </c>
      <c r="C45" s="5" t="s">
        <v>3</v>
      </c>
    </row>
    <row r="46" ht="22.5" customHeight="1">
      <c r="A46" s="3">
        <v>46296.38453703704</v>
      </c>
      <c r="B46" s="4">
        <v>24.8</v>
      </c>
      <c r="C46" s="5" t="s">
        <v>3</v>
      </c>
    </row>
    <row r="47" ht="22.5" customHeight="1">
      <c r="A47" s="3">
        <v>46295.40658564815</v>
      </c>
      <c r="B47" s="4">
        <v>25.0</v>
      </c>
      <c r="C47" s="5" t="s">
        <v>3</v>
      </c>
    </row>
    <row r="48" ht="22.5" customHeight="1">
      <c r="A48" s="3">
        <v>46296.77579861111</v>
      </c>
      <c r="B48" s="4">
        <v>26.2</v>
      </c>
      <c r="C48" s="5" t="s">
        <v>3</v>
      </c>
    </row>
    <row r="49" ht="22.5" customHeight="1">
      <c r="A49" s="3">
        <v>46293.56219907408</v>
      </c>
      <c r="B49" s="4">
        <v>27.8</v>
      </c>
      <c r="C49" s="5" t="s">
        <v>3</v>
      </c>
    </row>
    <row r="50" ht="22.5" customHeight="1">
      <c r="A50" s="3">
        <v>46297.58081018519</v>
      </c>
      <c r="B50" s="4">
        <v>28.5</v>
      </c>
      <c r="C50" s="5" t="s">
        <v>3</v>
      </c>
    </row>
    <row r="51" ht="22.5" customHeight="1">
      <c r="A51" s="3">
        <v>46297.88109953704</v>
      </c>
      <c r="B51" s="4">
        <v>30.0</v>
      </c>
      <c r="C51" s="5" t="s">
        <v>3</v>
      </c>
    </row>
  </sheetData>
  <dataValidations>
    <dataValidation type="custom" allowBlank="1" showDropDown="1" sqref="B2:B5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18.63"/>
    <col customWidth="1" min="3" max="3" width="28.13"/>
    <col customWidth="1" min="5" max="5" width="16.5"/>
  </cols>
  <sheetData>
    <row r="1" ht="22.5" customHeight="1">
      <c r="A1" s="8" t="s">
        <v>4</v>
      </c>
      <c r="B1" s="8" t="s">
        <v>5</v>
      </c>
      <c r="C1" s="8" t="s">
        <v>6</v>
      </c>
    </row>
    <row r="2" ht="22.5" customHeight="1">
      <c r="A2" s="9" t="s">
        <v>7</v>
      </c>
      <c r="B2" s="10">
        <v>8.0</v>
      </c>
      <c r="C2" s="10">
        <v>8.0</v>
      </c>
      <c r="E2" s="11" t="s">
        <v>8</v>
      </c>
      <c r="F2" s="12">
        <f>AVERAGE(Form_Responses[How far is your home from FEU Manila (in kilometers)?])</f>
        <v>14.262</v>
      </c>
      <c r="H2" s="13" t="s">
        <v>9</v>
      </c>
      <c r="I2" s="13" t="s">
        <v>10</v>
      </c>
      <c r="J2" s="13" t="s">
        <v>11</v>
      </c>
      <c r="K2" s="13" t="s">
        <v>12</v>
      </c>
      <c r="M2" s="13" t="s">
        <v>13</v>
      </c>
      <c r="N2" s="13" t="s">
        <v>14</v>
      </c>
      <c r="O2" s="13" t="s">
        <v>15</v>
      </c>
    </row>
    <row r="3" ht="22.5" customHeight="1">
      <c r="A3" s="9" t="s">
        <v>16</v>
      </c>
      <c r="B3" s="10">
        <v>11.0</v>
      </c>
      <c r="C3" s="10">
        <v>19.0</v>
      </c>
      <c r="E3" s="11" t="s">
        <v>17</v>
      </c>
      <c r="F3" s="12">
        <f>STDEV(Form_Responses[How far is your home from FEU Manila (in kilometers)?])</f>
        <v>7.63217919</v>
      </c>
      <c r="H3" s="13" t="s">
        <v>18</v>
      </c>
      <c r="I3" s="13" t="s">
        <v>19</v>
      </c>
      <c r="J3" s="13">
        <v>6.63</v>
      </c>
      <c r="K3" s="13">
        <v>21.89</v>
      </c>
      <c r="M3" s="14">
        <v>0.68</v>
      </c>
      <c r="N3" s="13">
        <v>34.0</v>
      </c>
      <c r="O3" s="13" t="s">
        <v>20</v>
      </c>
    </row>
    <row r="4" ht="22.5" customHeight="1">
      <c r="A4" s="9" t="s">
        <v>21</v>
      </c>
      <c r="B4" s="10">
        <v>9.0</v>
      </c>
      <c r="C4" s="10">
        <v>28.0</v>
      </c>
      <c r="H4" s="13" t="s">
        <v>22</v>
      </c>
      <c r="I4" s="13" t="s">
        <v>23</v>
      </c>
      <c r="J4" s="13">
        <v>-1.0</v>
      </c>
      <c r="K4" s="13">
        <v>29.52</v>
      </c>
      <c r="M4" s="14">
        <v>0.95</v>
      </c>
      <c r="N4" s="13">
        <v>48.0</v>
      </c>
      <c r="O4" s="13" t="s">
        <v>24</v>
      </c>
    </row>
    <row r="5" ht="22.5" customHeight="1">
      <c r="A5" s="9" t="s">
        <v>25</v>
      </c>
      <c r="B5" s="10">
        <v>12.0</v>
      </c>
      <c r="C5" s="10">
        <v>40.0</v>
      </c>
      <c r="H5" s="13" t="s">
        <v>26</v>
      </c>
      <c r="I5" s="13" t="s">
        <v>27</v>
      </c>
      <c r="J5" s="13">
        <v>-8.63</v>
      </c>
      <c r="K5" s="13">
        <v>37.15</v>
      </c>
      <c r="M5" s="15">
        <v>0.997</v>
      </c>
      <c r="N5" s="13">
        <v>50.0</v>
      </c>
      <c r="O5" s="13" t="s">
        <v>28</v>
      </c>
    </row>
    <row r="6" ht="22.5" customHeight="1">
      <c r="A6" s="9" t="s">
        <v>29</v>
      </c>
      <c r="B6" s="10">
        <v>6.0</v>
      </c>
      <c r="C6" s="10">
        <v>46.0</v>
      </c>
    </row>
    <row r="7" ht="22.5" customHeight="1">
      <c r="A7" s="9" t="s">
        <v>30</v>
      </c>
      <c r="B7" s="10">
        <v>4.0</v>
      </c>
      <c r="C7" s="10">
        <v>50.0</v>
      </c>
    </row>
    <row r="9">
      <c r="B9" s="7"/>
    </row>
    <row r="10">
      <c r="E10" s="16"/>
    </row>
  </sheetData>
  <dataValidations>
    <dataValidation type="custom" allowBlank="1" showDropDown="1" sqref="B2:C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